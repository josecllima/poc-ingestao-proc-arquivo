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" sheetId="1" state="visible" r:id="rId3"/>
    <sheet name="Apresentação" sheetId="2" state="visible" r:id="rId4"/>
  </sheets>
  <definedNames>
    <definedName function="false" hidden="true" localSheetId="0" name="_xlnm._FilterDatabase" vbProcedure="false">Plano!$A$4:$H$13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<sst xmlns="http://schemas.openxmlformats.org/spreadsheetml/2006/main" count="101" uniqueCount="60">
  <si>
    <t xml:space="preserve">Plano para concluir a POC Certacon</t>
  </si>
  <si>
    <t xml:space="preserve">Edite só a coluna Status (lista: Pendente / Em andamento / Concluído). Prioridade: 1 = fazer primeiro.</t>
  </si>
  <si>
    <t xml:space="preserve">Grupo</t>
  </si>
  <si>
    <t xml:space="preserve">Prioridade</t>
  </si>
  <si>
    <t xml:space="preserve">Item</t>
  </si>
  <si>
    <t xml:space="preserve">Detalhe / Por quê</t>
  </si>
  <si>
    <t xml:space="preserve">Esforço</t>
  </si>
  <si>
    <t xml:space="preserve">Valor na avaliação</t>
  </si>
  <si>
    <t xml:space="preserve">Obrigatório?</t>
  </si>
  <si>
    <t xml:space="preserve">Status</t>
  </si>
  <si>
    <t xml:space="preserve">1. Fechar a entrega (hoje)</t>
  </si>
  <si>
    <t xml:space="preserve">Validar tudo rodando</t>
  </si>
  <si>
    <t xml:space="preserve">1_recompilar.bat → 2_inicio_docker_urls.bat → enviar os 3 ZIPs oficiais. Confirmar logs novos, reenvio, Painel, downloads e se o /dashboard voltou a funcionar.</t>
  </si>
  <si>
    <t xml:space="preserve">Pequeno</t>
  </si>
  <si>
    <t xml:space="preserve">Alto</t>
  </si>
  <si>
    <t xml:space="preserve">Sim</t>
  </si>
  <si>
    <t xml:space="preserve">Pendente</t>
  </si>
  <si>
    <t xml:space="preserve">Commit e push</t>
  </si>
  <si>
    <t xml:space="preserve">O documento pede o histórico de commits; várias mudanças ainda não estão no Git.</t>
  </si>
  <si>
    <t xml:space="preserve">Conferir o README no GitHub</t>
  </si>
  <si>
    <t xml:space="preserve">Ver se os 3 diagramas .drawio.svg aparecem e se os links funcionam.</t>
  </si>
  <si>
    <t xml:space="preserve">2. Diferenciais</t>
  </si>
  <si>
    <t xml:space="preserve">XLSX como ensaio de processador novo</t>
  </si>
  <si>
    <t xml:space="preserve">O documento avisa que podem pedir a inclusão de um novo processador ao vivo.</t>
  </si>
  <si>
    <t xml:space="preserve">Alto (apresentação)</t>
  </si>
  <si>
    <t xml:space="preserve">Não</t>
  </si>
  <si>
    <t xml:space="preserve">Testes automatizados (pytest)</t>
  </si>
  <si>
    <t xml:space="preserve">Classificadores, processadores, extração segura e idempotência. Categoria Qualidade; dá para rodar sem Docker.</t>
  </si>
  <si>
    <t xml:space="preserve">Médio</t>
  </si>
  <si>
    <t xml:space="preserve">Duplicidade por arquivo</t>
  </si>
  <si>
    <t xml:space="preserve">Hash de cada arquivo extraído (o documento cita 'hash do ZIP ou dos arquivos').</t>
  </si>
  <si>
    <t xml:space="preserve">Lint (ruff) + CI (GitHub Actions)</t>
  </si>
  <si>
    <t xml:space="preserve">Rodar os testes a cada push. Faz sentido depois dos testes.</t>
  </si>
  <si>
    <t xml:space="preserve">ZIP aninhado (bônus)</t>
  </si>
  <si>
    <t xml:space="preserve">Extração recursiva com limite de profundidade. Já documentado como limitação.</t>
  </si>
  <si>
    <t xml:space="preserve">SSE/WebSocket e logs em JSON</t>
  </si>
  <si>
    <t xml:space="preserve">Atualização em tempo real e logs estruturados.</t>
  </si>
  <si>
    <t xml:space="preserve">Baixo/médio</t>
  </si>
  <si>
    <t xml:space="preserve">Resumo</t>
  </si>
  <si>
    <t xml:space="preserve">Itens no plano</t>
  </si>
  <si>
    <t xml:space="preserve">Concluídos</t>
  </si>
  <si>
    <t xml:space="preserve">Em andamento</t>
  </si>
  <si>
    <t xml:space="preserve">Pendentes</t>
  </si>
  <si>
    <t xml:space="preserve">Obrigatórios pendentes</t>
  </si>
  <si>
    <t xml:space="preserve">% concluído</t>
  </si>
  <si>
    <t xml:space="preserve">Ensaio da apresentação – o que podem pedir ao vivo</t>
  </si>
  <si>
    <t xml:space="preserve">Marque Status depois de ensaiar cada demonstração.</t>
  </si>
  <si>
    <t xml:space="preserve">#</t>
  </si>
  <si>
    <t xml:space="preserve">Pedido</t>
  </si>
  <si>
    <t xml:space="preserve">Como demonstrar</t>
  </si>
  <si>
    <t xml:space="preserve">Enviar um lote</t>
  </si>
  <si>
    <t xml:space="preserve">Upload do samples/lote-valido.zip; acompanhar em Lotes → Detalhes até CONCLUIDO.</t>
  </si>
  <si>
    <t xml:space="preserve">Arquivo inválido</t>
  </si>
  <si>
    <t xml:space="preserve">Upload do samples/lote-com-erros.zip; mostrar CONCLUIDO_COM_ERROS e o motivo de cada erro.</t>
  </si>
  <si>
    <t xml:space="preserve">Simular uma falha</t>
  </si>
  <si>
    <t xml:space="preserve">docker compose stop worker-csv → enviar lote → mensagens paradas na queue.csv (RabbitMQ) → docker compose start worker-csv → processamento continua. Alternativa: parar o banco e mostrar retry e DLQ.</t>
  </si>
  <si>
    <t xml:space="preserve">Novo processador</t>
  </si>
  <si>
    <t xml:space="preserve">Incluir o XLSX: tipos.py, processador, registro, worker no docker-compose (roteiro em docs/arquitetura.md, seção 7).</t>
  </si>
  <si>
    <t xml:space="preserve">Escalar workers</t>
  </si>
  <si>
    <t xml:space="preserve">docker compose up -d --scale worker-csv=3 e mostrar 3 consumidores na fila no painel do RabbitMQ.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</si>
</sst>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B6B7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9.55" hidden="false" customHeight="false" outlineLevel="0" collapsed="false">
      <c r="A5" s="4" t="s">
        <v>10</v>
      </c>
      <c r="B5" s="5" t="n">
        <v>1</v>
      </c>
      <c r="C5" s="4" t="s">
        <v>11</v>
      </c>
      <c r="D5" s="4" t="s">
        <v>12</v>
      </c>
      <c r="E5" s="5" t="s">
        <v>13</v>
      </c>
      <c r="F5" s="4" t="s">
        <v>14</v>
      </c>
      <c r="G5" s="5" t="s">
        <v>15</v>
      </c>
      <c r="H5" s="4" t="s">
        <v>16</v>
      </c>
    </row>
    <row r="6" customFormat="false" ht="26.85" hidden="false" customHeight="false" outlineLevel="0" collapsed="false">
      <c r="A6" s="4" t="s">
        <v>10</v>
      </c>
      <c r="B6" s="5" t="n">
        <v>2</v>
      </c>
      <c r="C6" s="4" t="s">
        <v>17</v>
      </c>
      <c r="D6" s="4" t="s">
        <v>18</v>
      </c>
      <c r="E6" s="5" t="s">
        <v>13</v>
      </c>
      <c r="F6" s="4" t="s">
        <v>14</v>
      </c>
      <c r="G6" s="5" t="s">
        <v>15</v>
      </c>
      <c r="H6" s="4" t="s">
        <v>16</v>
      </c>
    </row>
    <row r="7" customFormat="false" ht="26.85" hidden="false" customHeight="false" outlineLevel="0" collapsed="false">
      <c r="A7" s="4" t="s">
        <v>10</v>
      </c>
      <c r="B7" s="5" t="n">
        <v>3</v>
      </c>
      <c r="C7" s="4" t="s">
        <v>19</v>
      </c>
      <c r="D7" s="4" t="s">
        <v>20</v>
      </c>
      <c r="E7" s="5" t="s">
        <v>13</v>
      </c>
      <c r="F7" s="4" t="s">
        <v>14</v>
      </c>
      <c r="G7" s="5" t="s">
        <v>15</v>
      </c>
      <c r="H7" s="4" t="s">
        <v>16</v>
      </c>
    </row>
    <row r="8" customFormat="false" ht="26.85" hidden="false" customHeight="false" outlineLevel="0" collapsed="false">
      <c r="A8" s="4" t="s">
        <v>21</v>
      </c>
      <c r="B8" s="5" t="n">
        <v>4</v>
      </c>
      <c r="C8" s="4" t="s">
        <v>22</v>
      </c>
      <c r="D8" s="4" t="s">
        <v>23</v>
      </c>
      <c r="E8" s="5" t="s">
        <v>13</v>
      </c>
      <c r="F8" s="4" t="s">
        <v>24</v>
      </c>
      <c r="G8" s="5" t="s">
        <v>25</v>
      </c>
      <c r="H8" s="4" t="s">
        <v>16</v>
      </c>
    </row>
    <row r="9" customFormat="false" ht="26.85" hidden="false" customHeight="false" outlineLevel="0" collapsed="false">
      <c r="A9" s="4" t="s">
        <v>21</v>
      </c>
      <c r="B9" s="5" t="n">
        <v>5</v>
      </c>
      <c r="C9" s="4" t="s">
        <v>26</v>
      </c>
      <c r="D9" s="4" t="s">
        <v>27</v>
      </c>
      <c r="E9" s="5" t="s">
        <v>28</v>
      </c>
      <c r="F9" s="4" t="s">
        <v>14</v>
      </c>
      <c r="G9" s="5" t="s">
        <v>25</v>
      </c>
      <c r="H9" s="4" t="s">
        <v>16</v>
      </c>
    </row>
    <row r="10" customFormat="false" ht="26.85" hidden="false" customHeight="false" outlineLevel="0" collapsed="false">
      <c r="A10" s="4" t="s">
        <v>21</v>
      </c>
      <c r="B10" s="5" t="n">
        <v>6</v>
      </c>
      <c r="C10" s="4" t="s">
        <v>29</v>
      </c>
      <c r="D10" s="4" t="s">
        <v>30</v>
      </c>
      <c r="E10" s="5" t="s">
        <v>13</v>
      </c>
      <c r="F10" s="4" t="s">
        <v>28</v>
      </c>
      <c r="G10" s="5" t="s">
        <v>25</v>
      </c>
      <c r="H10" s="4" t="s">
        <v>16</v>
      </c>
    </row>
    <row r="11" customFormat="false" ht="15" hidden="false" customHeight="false" outlineLevel="0" collapsed="false">
      <c r="A11" s="4" t="s">
        <v>21</v>
      </c>
      <c r="B11" s="5" t="n">
        <v>7</v>
      </c>
      <c r="C11" s="4" t="s">
        <v>31</v>
      </c>
      <c r="D11" s="4" t="s">
        <v>32</v>
      </c>
      <c r="E11" s="5" t="s">
        <v>13</v>
      </c>
      <c r="F11" s="4" t="s">
        <v>28</v>
      </c>
      <c r="G11" s="5" t="s">
        <v>25</v>
      </c>
      <c r="H11" s="4" t="s">
        <v>16</v>
      </c>
    </row>
    <row r="12" customFormat="false" ht="26.85" hidden="false" customHeight="false" outlineLevel="0" collapsed="false">
      <c r="A12" s="4" t="s">
        <v>21</v>
      </c>
      <c r="B12" s="5" t="n">
        <v>8</v>
      </c>
      <c r="C12" s="4" t="s">
        <v>33</v>
      </c>
      <c r="D12" s="4" t="s">
        <v>34</v>
      </c>
      <c r="E12" s="5" t="s">
        <v>28</v>
      </c>
      <c r="F12" s="4" t="s">
        <v>28</v>
      </c>
      <c r="G12" s="5" t="s">
        <v>25</v>
      </c>
      <c r="H12" s="4" t="s">
        <v>16</v>
      </c>
    </row>
    <row r="13" customFormat="false" ht="15" hidden="false" customHeight="false" outlineLevel="0" collapsed="false">
      <c r="A13" s="4" t="s">
        <v>21</v>
      </c>
      <c r="B13" s="5" t="n">
        <v>9</v>
      </c>
      <c r="C13" s="4" t="s">
        <v>35</v>
      </c>
      <c r="D13" s="4" t="s">
        <v>36</v>
      </c>
      <c r="E13" s="5" t="s">
        <v>28</v>
      </c>
      <c r="F13" s="4" t="s">
        <v>37</v>
      </c>
      <c r="G13" s="5" t="s">
        <v>25</v>
      </c>
      <c r="H13" s="4" t="s">
        <v>16</v>
      </c>
    </row>
    <row r="15" customFormat="false" ht="15" hidden="false" customHeight="false" outlineLevel="0" collapsed="false">
      <c r="C15" s="6" t="s">
        <v>38</v>
      </c>
    </row>
    <row r="16" customFormat="false" ht="15" hidden="false" customHeight="false" outlineLevel="0" collapsed="false">
      <c r="C16" s="7" t="s">
        <v>39</v>
      </c>
      <c r="D16" s="8" t="n">
        <f aca="false">COUNTA(C5:C13)</f>
        <v>9</v>
      </c>
    </row>
    <row r="17" customFormat="false" ht="15" hidden="false" customHeight="false" outlineLevel="0" collapsed="false">
      <c r="C17" s="7" t="s">
        <v>40</v>
      </c>
      <c r="D17" s="8" t="n">
        <f aca="false">COUNTIF(H5:H13,"Concluído")</f>
        <v>0</v>
      </c>
    </row>
    <row r="18" customFormat="false" ht="15" hidden="false" customHeight="false" outlineLevel="0" collapsed="false">
      <c r="C18" s="7" t="s">
        <v>41</v>
      </c>
      <c r="D18" s="8" t="n">
        <f aca="false">COUNTIF(H5:H13,"Em andamento")</f>
        <v>0</v>
      </c>
    </row>
    <row r="19" customFormat="false" ht="15" hidden="false" customHeight="false" outlineLevel="0" collapsed="false">
      <c r="C19" s="7" t="s">
        <v>42</v>
      </c>
      <c r="D19" s="8" t="n">
        <f aca="false">COUNTIF(H5:H13,"Pendente")</f>
        <v>9</v>
      </c>
    </row>
    <row r="20" customFormat="false" ht="15" hidden="false" customHeight="false" outlineLevel="0" collapsed="false">
      <c r="C20" s="7" t="s">
        <v>43</v>
      </c>
      <c r="D20" s="8" t="n">
        <f aca="false">COUNTIFS(G5:G13,"Sim",H5:H13,"&lt;&gt;Concluído")</f>
        <v>3</v>
      </c>
    </row>
    <row r="21" customFormat="false" ht="15" hidden="false" customHeight="false" outlineLevel="0" collapsed="false">
      <c r="C21" s="7" t="s">
        <v>44</v>
      </c>
      <c r="D21" s="9" t="n">
        <f aca="false">IF(D16=0,0,D17/D16)</f>
        <v>0</v>
      </c>
    </row>
  </sheetData>
  <autoFilter ref="A4:H13"/>
  <conditionalFormatting sqref="H5:H13">
    <cfRule type="cellIs" priority="2" operator="equal" aboveAverage="0" equalAverage="0" bottom="0" percent="0" rank="0" text="" dxfId="4">
      <formula>"Concluído"</formula>
    </cfRule>
    <cfRule type="cellIs" priority="3" operator="equal" aboveAverage="0" equalAverage="0" bottom="0" percent="0" rank="0" text="" dxfId="5">
      <formula>"Em andamento"</formula>
    </cfRule>
    <cfRule type="cellIs" priority="4" operator="equal" aboveAverage="0" equalAverage="0" bottom="0" percent="0" rank="0" text="" dxfId="6">
      <formula>"Pendente"</formula>
    </cfRule>
  </conditionalFormatting>
  <dataValidations count="1">
    <dataValidation allowBlank="false" errorStyle="stop" operator="between" showDropDown="false" showErrorMessage="false" showInputMessage="false" sqref="H5:H13" type="list">
      <formula1>"Pendente,Em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90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  <c r="D4" s="3" t="s">
        <v>9</v>
      </c>
    </row>
    <row r="5" customFormat="false" ht="15" hidden="false" customHeight="false" outlineLevel="0" collapsed="false">
      <c r="A5" s="10" t="n">
        <v>1</v>
      </c>
      <c r="B5" s="10" t="s">
        <v>50</v>
      </c>
      <c r="C5" s="10" t="s">
        <v>51</v>
      </c>
      <c r="D5" s="10" t="s">
        <v>16</v>
      </c>
    </row>
    <row r="6" customFormat="false" ht="26.85" hidden="false" customHeight="false" outlineLevel="0" collapsed="false">
      <c r="A6" s="10" t="n">
        <v>2</v>
      </c>
      <c r="B6" s="10" t="s">
        <v>52</v>
      </c>
      <c r="C6" s="10" t="s">
        <v>53</v>
      </c>
      <c r="D6" s="10" t="s">
        <v>16</v>
      </c>
    </row>
    <row r="7" customFormat="false" ht="39.55" hidden="false" customHeight="false" outlineLevel="0" collapsed="false">
      <c r="A7" s="10" t="n">
        <v>3</v>
      </c>
      <c r="B7" s="10" t="s">
        <v>54</v>
      </c>
      <c r="C7" s="10" t="s">
        <v>55</v>
      </c>
      <c r="D7" s="10" t="s">
        <v>16</v>
      </c>
    </row>
    <row r="8" customFormat="false" ht="26.85" hidden="false" customHeight="false" outlineLevel="0" collapsed="false">
      <c r="A8" s="10" t="n">
        <v>4</v>
      </c>
      <c r="B8" s="10" t="s">
        <v>56</v>
      </c>
      <c r="C8" s="10" t="s">
        <v>57</v>
      </c>
      <c r="D8" s="10" t="s">
        <v>16</v>
      </c>
    </row>
    <row r="9" customFormat="false" ht="26.85" hidden="false" customHeight="false" outlineLevel="0" collapsed="false">
      <c r="A9" s="10" t="n">
        <v>5</v>
      </c>
      <c r="B9" s="10" t="s">
        <v>58</v>
      </c>
      <c r="C9" s="10" t="s">
        <v>59</v>
      </c>
      <c r="D9" s="10" t="s">
        <v>16</v>
      </c>
    </row>
  </sheetData>
  <conditionalFormatting sqref="D5:D9">
    <cfRule type="cellIs" priority="2" operator="equal" aboveAverage="0" equalAverage="0" bottom="0" percent="0" rank="0" text="" dxfId="4">
      <formula>"Concluído"</formula>
    </cfRule>
    <cfRule type="cellIs" priority="3" operator="equal" aboveAverage="0" equalAverage="0" bottom="0" percent="0" rank="0" text="" dxfId="5">
      <formula>"Em andamento"</formula>
    </cfRule>
    <cfRule type="cellIs" priority="4" operator="equal" aboveAverage="0" equalAverage="0" bottom="0" percent="0" rank="0" text="" dxfId="6">
      <formula>"Pendente"</formula>
    </cfRule>
  </conditionalFormatting>
  <dataValidations count="1">
    <dataValidation allowBlank="false" errorStyle="stop" operator="between" showDropDown="false" showErrorMessage="false" showInputMessage="false" sqref="D5:D9" type="list">
      <formula1>"Pendente,Em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2026-10-09T16:59:22Z</dcterms:created>
  <dc:creator>openpyxl</dc:creator>
  <dc:description/>
  <dc:language>en-US</dc:language>
  <cp:lastModifiedBy/>
  <dcterms:modified xsi:type="dcterms:W3CDTF">2026-10-09T16:59:22Z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